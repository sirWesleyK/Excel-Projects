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f1937d5164db27b/New folder/"/>
    </mc:Choice>
  </mc:AlternateContent>
  <xr:revisionPtr revIDLastSave="99" documentId="8_{89289D6F-17F6-4D26-B7FA-8DFE3AAF86C9}" xr6:coauthVersionLast="47" xr6:coauthVersionMax="47" xr10:uidLastSave="{CEDEE921-CF80-4263-99DE-3839C520D1C3}"/>
  <bookViews>
    <workbookView xWindow="-108" yWindow="-108" windowWidth="23256" windowHeight="12456" activeTab="1" xr2:uid="{538D688D-0231-8B48-9466-07E39218469D}"/>
  </bookViews>
  <sheets>
    <sheet name="Cover Page" sheetId="3" r:id="rId1"/>
    <sheet name="Invoice" sheetId="1" r:id="rId2"/>
    <sheet name="Customers" sheetId="2" r:id="rId3"/>
  </sheets>
  <definedNames>
    <definedName name="_xlnm.Print_Area" localSheetId="1">Invoice!$B$1:$G$30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" l="1"/>
  <c r="G6" i="1" s="1"/>
  <c r="G12" i="1"/>
  <c r="G13" i="1"/>
  <c r="G14" i="1"/>
  <c r="G15" i="1"/>
  <c r="G16" i="1"/>
  <c r="G17" i="1"/>
  <c r="G18" i="1"/>
  <c r="F12" i="1"/>
  <c r="F13" i="1"/>
  <c r="F14" i="1"/>
  <c r="F15" i="1"/>
  <c r="F16" i="1"/>
  <c r="F17" i="1"/>
  <c r="F18" i="1"/>
  <c r="G11" i="1"/>
  <c r="F11" i="1"/>
  <c r="D8" i="1"/>
  <c r="D7" i="1"/>
  <c r="D6" i="1"/>
  <c r="G21" i="1" l="1"/>
  <c r="G20" i="1"/>
  <c r="G22" i="1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<sst xmlns="http://schemas.openxmlformats.org/spreadsheetml/2006/main" count="61" uniqueCount="59">
  <si>
    <t>Invoice</t>
  </si>
  <si>
    <t>Company XYZ</t>
  </si>
  <si>
    <t>123 North Street</t>
  </si>
  <si>
    <t>New York, NY 12210</t>
  </si>
  <si>
    <t>info@xyz.com</t>
  </si>
  <si>
    <t>Description</t>
  </si>
  <si>
    <t>Quantity</t>
  </si>
  <si>
    <t>Unit Price</t>
  </si>
  <si>
    <t>Tax</t>
  </si>
  <si>
    <t>Subtotal USD</t>
  </si>
  <si>
    <t>Total USD</t>
  </si>
  <si>
    <t>Total (exc. Tax)</t>
  </si>
  <si>
    <t>Bank Name:</t>
  </si>
  <si>
    <t>Account Number:</t>
  </si>
  <si>
    <t>Sort Code:</t>
  </si>
  <si>
    <t>IBAN:</t>
  </si>
  <si>
    <t>BIC</t>
  </si>
  <si>
    <t>123 South Street</t>
  </si>
  <si>
    <t>Payment Information</t>
  </si>
  <si>
    <t>Invoice #:</t>
  </si>
  <si>
    <t>Invoice Date:</t>
  </si>
  <si>
    <t>Due Date:</t>
  </si>
  <si>
    <t>FROM:</t>
  </si>
  <si>
    <t>BILL TO:</t>
  </si>
  <si>
    <t>Comments</t>
  </si>
  <si>
    <t>10-20-30</t>
  </si>
  <si>
    <t>Company</t>
  </si>
  <si>
    <t>Address 1</t>
  </si>
  <si>
    <t>Address 2</t>
  </si>
  <si>
    <t>Contact</t>
  </si>
  <si>
    <t>Mike Inc.</t>
  </si>
  <si>
    <t>Sam Co.</t>
  </si>
  <si>
    <t>450 West Street</t>
  </si>
  <si>
    <t>sam@smith.com</t>
  </si>
  <si>
    <r>
      <t xml:space="preserve">Get </t>
    </r>
    <r>
      <rPr>
        <b/>
        <sz val="16"/>
        <color theme="1"/>
        <rFont val="Aptos Narrow"/>
        <family val="2"/>
        <scheme val="minor"/>
      </rPr>
      <t>10% OFF</t>
    </r>
    <r>
      <rPr>
        <sz val="16"/>
        <color theme="1"/>
        <rFont val="Aptos Narrow"/>
        <family val="2"/>
        <scheme val="minor"/>
      </rPr>
      <t xml:space="preserve"> our course using coupon code </t>
    </r>
    <r>
      <rPr>
        <b/>
        <sz val="16"/>
        <color theme="1"/>
        <rFont val="Aptos Narrow"/>
        <family val="2"/>
        <scheme val="minor"/>
      </rPr>
      <t>EMAIL10</t>
    </r>
  </si>
  <si>
    <t>Made by Career Principles Ltd.</t>
  </si>
  <si>
    <t>Note</t>
  </si>
  <si>
    <t>All content is copyright material of Career Principles Ltd.</t>
  </si>
  <si>
    <t>This Excel model may not be reproduced or distributed by any means, including printing, 
screencapturing, or any other method without the prior permission of the publisher.</t>
  </si>
  <si>
    <t>Invoice Template</t>
  </si>
  <si>
    <t>Get our VBA &amp; Macros for Business Automation Course.</t>
  </si>
  <si>
    <t>ZB Bank</t>
  </si>
  <si>
    <t>ZB0012</t>
  </si>
  <si>
    <t>Headlights</t>
  </si>
  <si>
    <t>Red Reflectors</t>
  </si>
  <si>
    <t>Reflector Triangles</t>
  </si>
  <si>
    <t>Seat Covers</t>
  </si>
  <si>
    <t>Thank you, call again!</t>
  </si>
  <si>
    <t>AA Motors</t>
  </si>
  <si>
    <t>57 Adylnn Dr</t>
  </si>
  <si>
    <t>info@MikeInc.com</t>
  </si>
  <si>
    <t>info@AA.com</t>
  </si>
  <si>
    <t>Chisipte, Harare</t>
  </si>
  <si>
    <t>Westgate, Harare</t>
  </si>
  <si>
    <t>Eastridge, Harare</t>
  </si>
  <si>
    <t xml:space="preserve">Accelary Motors </t>
  </si>
  <si>
    <t xml:space="preserve">Adbernnie </t>
  </si>
  <si>
    <t>23 Spurn Rd</t>
  </si>
  <si>
    <t>info.accelarymotors19@com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</si>
</sst>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$-409]#,##0"/>
    <numFmt numFmtId="165" formatCode="[$$-409]#,##0.00"/>
  </numFmts>
  <fonts count="16" x14ac:knownFonts="1">
    <font>
      <sz val="12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2"/>
      <color theme="0"/>
      <name val="Aptos Narrow"/>
      <scheme val="minor"/>
    </font>
    <font>
      <b/>
      <sz val="12"/>
      <color theme="0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60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i/>
      <sz val="14"/>
      <color rgb="FF0432FF"/>
      <name val="Aptos Narrow"/>
      <family val="2"/>
      <scheme val="minor"/>
    </font>
    <font>
      <u/>
      <sz val="16"/>
      <color theme="10"/>
      <name val="Aptos Narrow"/>
      <family val="2"/>
      <scheme val="minor"/>
    </font>
    <font>
      <sz val="12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07367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2" borderId="0" xfId="0" applyFont="1" applyFill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3" xfId="0" applyBorder="1"/>
    <xf numFmtId="165" fontId="0" fillId="0" borderId="1" xfId="0" applyNumberFormat="1" applyBorder="1" applyAlignment="1">
      <alignment horizontal="center"/>
    </xf>
    <xf numFmtId="165" fontId="0" fillId="0" borderId="0" xfId="0" applyNumberFormat="1"/>
    <xf numFmtId="0" fontId="4" fillId="2" borderId="0" xfId="0" applyFont="1" applyFill="1" applyAlignment="1">
      <alignment horizontal="center"/>
    </xf>
    <xf numFmtId="0" fontId="0" fillId="0" borderId="4" xfId="0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0" fontId="3" fillId="3" borderId="3" xfId="0" applyFont="1" applyFill="1" applyBorder="1"/>
    <xf numFmtId="165" fontId="3" fillId="3" borderId="3" xfId="0" applyNumberFormat="1" applyFont="1" applyFill="1" applyBorder="1"/>
    <xf numFmtId="0" fontId="4" fillId="2" borderId="5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5" fillId="2" borderId="0" xfId="0" applyFont="1" applyFill="1" applyAlignment="1">
      <alignment horizontal="center"/>
    </xf>
    <xf numFmtId="0" fontId="0" fillId="0" borderId="6" xfId="0" applyBorder="1"/>
    <xf numFmtId="0" fontId="9" fillId="0" borderId="7" xfId="0" applyFont="1" applyBorder="1" applyAlignment="1">
      <alignment horizontal="center" vertical="center"/>
    </xf>
    <xf numFmtId="0" fontId="0" fillId="0" borderId="8" xfId="0" applyBorder="1"/>
    <xf numFmtId="0" fontId="0" fillId="4" borderId="0" xfId="0" applyFill="1"/>
    <xf numFmtId="0" fontId="0" fillId="0" borderId="9" xfId="0" applyBorder="1"/>
    <xf numFmtId="0" fontId="10" fillId="0" borderId="0" xfId="0" applyFont="1" applyAlignment="1">
      <alignment horizontal="center" vertical="center"/>
    </xf>
    <xf numFmtId="0" fontId="0" fillId="0" borderId="10" xfId="0" applyBorder="1"/>
    <xf numFmtId="0" fontId="7" fillId="0" borderId="9" xfId="0" applyFont="1" applyBorder="1"/>
    <xf numFmtId="0" fontId="11" fillId="0" borderId="0" xfId="0" applyFont="1" applyAlignment="1">
      <alignment horizontal="center"/>
    </xf>
    <xf numFmtId="0" fontId="7" fillId="0" borderId="10" xfId="0" applyFont="1" applyBorder="1"/>
    <xf numFmtId="0" fontId="7" fillId="4" borderId="0" xfId="0" applyFont="1" applyFill="1"/>
    <xf numFmtId="0" fontId="7" fillId="0" borderId="0" xfId="0" applyFont="1"/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4" borderId="0" xfId="0" applyFill="1" applyAlignment="1">
      <alignment vertical="center"/>
    </xf>
    <xf numFmtId="0" fontId="13" fillId="0" borderId="0" xfId="1" applyFont="1" applyFill="1" applyBorder="1"/>
    <xf numFmtId="0" fontId="8" fillId="0" borderId="12" xfId="0" applyFont="1" applyBorder="1"/>
    <xf numFmtId="0" fontId="0" fillId="0" borderId="0" xfId="0" applyAlignment="1">
      <alignment vertical="top" wrapText="1"/>
    </xf>
    <xf numFmtId="0" fontId="0" fillId="0" borderId="13" xfId="0" applyBorder="1"/>
    <xf numFmtId="0" fontId="0" fillId="0" borderId="12" xfId="0" applyBorder="1"/>
    <xf numFmtId="0" fontId="0" fillId="0" borderId="14" xfId="0" applyBorder="1"/>
    <xf numFmtId="0" fontId="14" fillId="5" borderId="11" xfId="1" applyFont="1" applyFill="1" applyBorder="1" applyAlignment="1">
      <alignment horizontal="center" vertical="center"/>
    </xf>
    <xf numFmtId="0" fontId="0" fillId="6" borderId="0" xfId="0" applyFill="1"/>
    <xf numFmtId="1" fontId="0" fillId="0" borderId="0" xfId="0" applyNumberFormat="1" applyAlignment="1">
      <alignment horizontal="center"/>
    </xf>
    <xf numFmtId="0" fontId="6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99"/>
      <color rgb="FF0736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5" Type="http://schemas.microsoft.com/office/2006/relationships/vbaProject" Target="vbaProject.bin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https://www.careerprinciples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2209032</xdr:colOff>
      <xdr:row>3</xdr:row>
      <xdr:rowOff>50217</xdr:rowOff>
    </xdr:from>
    <xdr:ext cx="3204694" cy="1114911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E672F0E-4E0A-4A45-92D8-10BB9A925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85407" y="1228142"/>
          <a:ext cx="3204694" cy="1114911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144780</xdr:colOff>
          <xdr:row>1</xdr:row>
          <xdr:rowOff>38100</xdr:rowOff>
        </xdr:from>
        <xdr:to>
          <xdr:col>9</xdr:col>
          <xdr:colOff>571500</xdr:colOff>
          <xdr:row>1</xdr:row>
          <xdr:rowOff>784860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W" sz="1200" b="0" i="0" u="none" strike="noStrike" baseline="0">
                  <a:solidFill>
                    <a:srgbClr val="000000"/>
                  </a:solidFill>
                  <a:latin typeface="Aptos Narrow"/>
                </a:rPr>
                <a:t>Export As PDF</a:t>
              </a:r>
            </a:p>
          </xdr:txBody>
        </xdr:sp>
        <xdr:clientData fPrintsWithSheet="0"/>
      </xdr:twoCellAnchor>
    </mc:Choice>
    <mc:Fallback/>
  </mc:AlternateContent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careerprinciples.com/courses/vba-macros-for-business-automation" TargetMode="External"/><Relationship Id="rId1" Type="http://schemas.openxmlformats.org/officeDocument/2006/relationships/hyperlink" Target="https://www.youtube.com/c/KenjiExplains/featured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info@AA.com" TargetMode="External"/><Relationship Id="rId2" Type="http://schemas.openxmlformats.org/officeDocument/2006/relationships/hyperlink" Target="mailto:sam@smith.com" TargetMode="External"/><Relationship Id="rId1" Type="http://schemas.openxmlformats.org/officeDocument/2006/relationships/hyperlink" Target="mailto:info@MikeInc.com" TargetMode="External"/><Relationship Id="rId4" Type="http://schemas.openxmlformats.org/officeDocument/2006/relationships/hyperlink" Target="mailto:info.accelarymotors19@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04FBC-FBF1-45E2-B534-E5B1CB471A7B}">
  <sheetPr codeName="Sheet2"/>
  <dimension ref="B3:D16"/>
  <sheetViews>
    <sheetView showGridLines="0" zoomScale="110" zoomScaleNormal="110" workbookViewId="0">
      <selection activeCell="F4" sqref="F4"/>
    </sheetView>
  </sheetViews>
  <sheetFormatPr defaultColWidth="10.796875" defaultRowHeight="15.6" x14ac:dyDescent="0.3"/>
  <cols>
    <col min="1" max="1" width="10.796875" style="24"/>
    <col min="2" max="2" width="8.5" style="24" customWidth="1"/>
    <col min="3" max="3" width="102.69921875" style="24" bestFit="1" customWidth="1"/>
    <col min="4" max="4" width="9.5" style="24" customWidth="1"/>
    <col min="5" max="16384" width="10.796875" style="24"/>
  </cols>
  <sheetData>
    <row r="3" spans="2:4" ht="63" x14ac:dyDescent="0.3">
      <c r="B3" s="21"/>
      <c r="C3" s="22" t="s">
        <v>39</v>
      </c>
      <c r="D3" s="23"/>
    </row>
    <row r="4" spans="2:4" ht="54" customHeight="1" x14ac:dyDescent="0.3">
      <c r="B4" s="25"/>
      <c r="C4" s="26"/>
      <c r="D4" s="27"/>
    </row>
    <row r="5" spans="2:4" ht="31.95" customHeight="1" x14ac:dyDescent="0.3">
      <c r="B5" s="25"/>
      <c r="C5" s="26"/>
      <c r="D5" s="27"/>
    </row>
    <row r="6" spans="2:4" x14ac:dyDescent="0.3">
      <c r="B6" s="25"/>
      <c r="C6"/>
      <c r="D6" s="27"/>
    </row>
    <row r="7" spans="2:4" s="31" customFormat="1" ht="21" x14ac:dyDescent="0.4">
      <c r="B7" s="28"/>
      <c r="C7" s="29" t="s">
        <v>34</v>
      </c>
      <c r="D7" s="30"/>
    </row>
    <row r="8" spans="2:4" s="31" customFormat="1" x14ac:dyDescent="0.3">
      <c r="B8" s="28"/>
      <c r="C8" s="32"/>
      <c r="D8" s="30"/>
    </row>
    <row r="9" spans="2:4" s="35" customFormat="1" ht="21" x14ac:dyDescent="0.3">
      <c r="B9" s="33"/>
      <c r="C9" s="42" t="s">
        <v>40</v>
      </c>
      <c r="D9" s="34"/>
    </row>
    <row r="10" spans="2:4" x14ac:dyDescent="0.3">
      <c r="B10" s="25"/>
      <c r="C10"/>
      <c r="D10" s="27"/>
    </row>
    <row r="11" spans="2:4" ht="18" x14ac:dyDescent="0.35">
      <c r="B11" s="25"/>
      <c r="C11" s="36" t="s">
        <v>35</v>
      </c>
      <c r="D11" s="27"/>
    </row>
    <row r="12" spans="2:4" x14ac:dyDescent="0.3">
      <c r="B12" s="25"/>
      <c r="C12"/>
      <c r="D12" s="27"/>
    </row>
    <row r="13" spans="2:4" x14ac:dyDescent="0.3">
      <c r="B13" s="25"/>
      <c r="C13" s="37" t="s">
        <v>36</v>
      </c>
      <c r="D13" s="27"/>
    </row>
    <row r="14" spans="2:4" x14ac:dyDescent="0.3">
      <c r="B14" s="25"/>
      <c r="C14" t="s">
        <v>37</v>
      </c>
      <c r="D14" s="27"/>
    </row>
    <row r="15" spans="2:4" ht="31.2" x14ac:dyDescent="0.3">
      <c r="B15" s="25"/>
      <c r="C15" s="38" t="s">
        <v>38</v>
      </c>
      <c r="D15" s="27"/>
    </row>
    <row r="16" spans="2:4" x14ac:dyDescent="0.3">
      <c r="B16" s="39"/>
      <c r="C16" s="40"/>
      <c r="D16" s="41"/>
    </row>
  </sheetData>
  <sheetProtection algorithmName="SHA-512" hashValue="hdyVL4EuK2OTGJPSL7JG6waHqzJ9GG1mWsmiK7Si+SpHJcAaO1RxOoPK1hhZdGiG4ymhnamRzRIQSGDr6E3CXQ==" saltValue="hhGL5jYx6qz61IR78LXQow==" spinCount="100000" sheet="1" objects="1" scenarios="1"/>
  <hyperlinks>
    <hyperlink ref="C11" r:id="rId1" display="Made by Kenji Explains" xr:uid="{CF6EFC30-E699-47DB-AA67-7EC5D514E8A4}"/>
    <hyperlink ref="C9" r:id="rId2" display="Get our VBA &amp; Macros course." xr:uid="{2816954C-53B6-414E-ACDF-1AF97F7EB3F7}"/>
  </hyperlink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CEFD4-EBD6-5847-9C31-680822D0CE5F}">
  <sheetPr codeName="Sheet1"/>
  <dimension ref="B1:G30"/>
  <sheetViews>
    <sheetView showGridLines="0" tabSelected="1" zoomScale="77" workbookViewId="0">
      <selection activeCell="D5" sqref="D5"/>
    </sheetView>
  </sheetViews>
  <sheetFormatPr defaultColWidth="10.69921875" defaultRowHeight="15.6" x14ac:dyDescent="0.3"/>
  <cols>
    <col min="2" max="2" width="15.19921875" customWidth="1"/>
    <col min="3" max="3" width="14.796875" customWidth="1"/>
    <col min="4" max="4" width="11.796875" customWidth="1"/>
    <col min="5" max="5" width="9" customWidth="1"/>
    <col min="6" max="6" width="11.796875" bestFit="1" customWidth="1"/>
    <col min="7" max="7" width="13.5" customWidth="1"/>
    <col min="8" max="8" width="13.19921875" bestFit="1" customWidth="1"/>
  </cols>
  <sheetData>
    <row r="1" spans="2:7" x14ac:dyDescent="0.3">
      <c r="F1" s="43"/>
      <c r="G1" s="43"/>
    </row>
    <row r="2" spans="2:7" ht="63" x14ac:dyDescent="1.2">
      <c r="B2" s="2" t="s">
        <v>0</v>
      </c>
      <c r="F2" s="43"/>
      <c r="G2" s="43" t="e" vm="1">
        <v>#VALUE!</v>
      </c>
    </row>
    <row r="3" spans="2:7" ht="15" customHeight="1" x14ac:dyDescent="1.2">
      <c r="B3" s="2"/>
    </row>
    <row r="4" spans="2:7" x14ac:dyDescent="0.3">
      <c r="B4" s="3" t="s">
        <v>22</v>
      </c>
      <c r="D4" s="3" t="s">
        <v>23</v>
      </c>
      <c r="F4" s="14" t="s">
        <v>19</v>
      </c>
      <c r="G4" s="5">
        <v>10288</v>
      </c>
    </row>
    <row r="5" spans="2:7" x14ac:dyDescent="0.3">
      <c r="B5" s="3" t="s">
        <v>1</v>
      </c>
      <c r="D5" s="3" t="s">
        <v>55</v>
      </c>
      <c r="F5" s="14" t="s">
        <v>20</v>
      </c>
      <c r="G5" s="19">
        <f ca="1">TODAY()</f>
        <v>45976</v>
      </c>
    </row>
    <row r="6" spans="2:7" x14ac:dyDescent="0.3">
      <c r="B6" t="s">
        <v>2</v>
      </c>
      <c r="D6" t="str">
        <f>_xlfn.XLOOKUP($D$5,Customers!B2:B1048576,Customers!C2:C1048576)</f>
        <v>23 Spurn Rd</v>
      </c>
      <c r="F6" s="14" t="s">
        <v>21</v>
      </c>
      <c r="G6" s="19">
        <f ca="1">G5+15</f>
        <v>45991</v>
      </c>
    </row>
    <row r="7" spans="2:7" x14ac:dyDescent="0.3">
      <c r="B7" t="s">
        <v>3</v>
      </c>
      <c r="D7" t="str">
        <f>_xlfn.XLOOKUP($D$5,Customers!B2:B1048576,Customers!D2:D1048576)</f>
        <v xml:space="preserve">Adbernnie </v>
      </c>
    </row>
    <row r="8" spans="2:7" x14ac:dyDescent="0.3">
      <c r="B8" t="s">
        <v>4</v>
      </c>
      <c r="D8" t="str">
        <f>_xlfn.XLOOKUP($D$5,Customers!B2:B1048576,Customers!E2:E1048576)</f>
        <v>info.accelarymotors19@com</v>
      </c>
    </row>
    <row r="9" spans="2:7" ht="19.95" customHeight="1" x14ac:dyDescent="0.3"/>
    <row r="10" spans="2:7" x14ac:dyDescent="0.3">
      <c r="B10" s="4" t="s">
        <v>5</v>
      </c>
      <c r="C10" s="4"/>
      <c r="D10" s="18" t="s">
        <v>6</v>
      </c>
      <c r="E10" s="12" t="s">
        <v>7</v>
      </c>
      <c r="F10" s="12" t="s">
        <v>8</v>
      </c>
      <c r="G10" s="12" t="s">
        <v>11</v>
      </c>
    </row>
    <row r="11" spans="2:7" x14ac:dyDescent="0.3">
      <c r="B11" s="8" t="s">
        <v>43</v>
      </c>
      <c r="C11" s="9"/>
      <c r="D11" s="7">
        <v>2</v>
      </c>
      <c r="E11" s="10">
        <v>97</v>
      </c>
      <c r="F11" s="10">
        <f>IF(D11=0,"",D11*E11*0.2)</f>
        <v>38.800000000000004</v>
      </c>
      <c r="G11" s="10">
        <f>IF(D11=0,"",E11*D11)</f>
        <v>194</v>
      </c>
    </row>
    <row r="12" spans="2:7" x14ac:dyDescent="0.3">
      <c r="B12" s="8" t="s">
        <v>46</v>
      </c>
      <c r="C12" s="9"/>
      <c r="D12" s="7">
        <v>1</v>
      </c>
      <c r="E12" s="10">
        <v>50</v>
      </c>
      <c r="F12" s="10">
        <f t="shared" ref="F12:F18" si="0">IF(D12=0,"",D12*E12*0.2)</f>
        <v>10</v>
      </c>
      <c r="G12" s="10">
        <f t="shared" ref="G12:G18" si="1">IF(D12=0,"",E12*D12)</f>
        <v>50</v>
      </c>
    </row>
    <row r="13" spans="2:7" x14ac:dyDescent="0.3">
      <c r="B13" s="8" t="s">
        <v>44</v>
      </c>
      <c r="C13" s="9"/>
      <c r="D13" s="7">
        <v>1</v>
      </c>
      <c r="E13" s="10">
        <v>5</v>
      </c>
      <c r="F13" s="10">
        <f t="shared" si="0"/>
        <v>1</v>
      </c>
      <c r="G13" s="10">
        <f t="shared" si="1"/>
        <v>5</v>
      </c>
    </row>
    <row r="14" spans="2:7" x14ac:dyDescent="0.3">
      <c r="B14" s="8" t="s">
        <v>45</v>
      </c>
      <c r="C14" s="9"/>
      <c r="D14" s="7">
        <v>2</v>
      </c>
      <c r="E14" s="10">
        <v>4</v>
      </c>
      <c r="F14" s="10">
        <f t="shared" si="0"/>
        <v>1.6</v>
      </c>
      <c r="G14" s="10">
        <f t="shared" si="1"/>
        <v>8</v>
      </c>
    </row>
    <row r="15" spans="2:7" x14ac:dyDescent="0.3">
      <c r="B15" s="8"/>
      <c r="C15" s="9"/>
      <c r="D15" s="7"/>
      <c r="E15" s="10"/>
      <c r="F15" s="10" t="str">
        <f t="shared" si="0"/>
        <v/>
      </c>
      <c r="G15" s="10" t="str">
        <f t="shared" si="1"/>
        <v/>
      </c>
    </row>
    <row r="16" spans="2:7" x14ac:dyDescent="0.3">
      <c r="B16" s="8"/>
      <c r="C16" s="9"/>
      <c r="D16" s="7"/>
      <c r="E16" s="10"/>
      <c r="F16" s="10" t="str">
        <f t="shared" si="0"/>
        <v/>
      </c>
      <c r="G16" s="10" t="str">
        <f t="shared" si="1"/>
        <v/>
      </c>
    </row>
    <row r="17" spans="2:7" x14ac:dyDescent="0.3">
      <c r="B17" s="8"/>
      <c r="C17" s="9"/>
      <c r="D17" s="7"/>
      <c r="E17" s="10"/>
      <c r="F17" s="10" t="str">
        <f t="shared" si="0"/>
        <v/>
      </c>
      <c r="G17" s="10" t="str">
        <f t="shared" si="1"/>
        <v/>
      </c>
    </row>
    <row r="18" spans="2:7" x14ac:dyDescent="0.3">
      <c r="B18" s="8"/>
      <c r="C18" s="9"/>
      <c r="D18" s="7"/>
      <c r="E18" s="10"/>
      <c r="F18" s="10" t="str">
        <f t="shared" si="0"/>
        <v/>
      </c>
      <c r="G18" s="10" t="str">
        <f t="shared" si="1"/>
        <v/>
      </c>
    </row>
    <row r="19" spans="2:7" x14ac:dyDescent="0.3">
      <c r="D19" s="5"/>
      <c r="E19" s="6"/>
      <c r="F19" s="6"/>
      <c r="G19" s="6"/>
    </row>
    <row r="20" spans="2:7" x14ac:dyDescent="0.3">
      <c r="F20" t="s">
        <v>9</v>
      </c>
      <c r="G20" s="11">
        <f>SUM(G11:G18)</f>
        <v>257</v>
      </c>
    </row>
    <row r="21" spans="2:7" x14ac:dyDescent="0.3">
      <c r="F21" t="s">
        <v>8</v>
      </c>
      <c r="G21" s="11">
        <f>SUM(F11:F18)</f>
        <v>51.400000000000006</v>
      </c>
    </row>
    <row r="22" spans="2:7" x14ac:dyDescent="0.3">
      <c r="F22" s="16" t="s">
        <v>10</v>
      </c>
      <c r="G22" s="17">
        <f>SUM(G20:G21)</f>
        <v>308.39999999999998</v>
      </c>
    </row>
    <row r="23" spans="2:7" ht="16.2" thickBot="1" x14ac:dyDescent="0.35">
      <c r="B23" s="13"/>
      <c r="C23" s="13"/>
      <c r="D23" s="13"/>
      <c r="E23" s="13"/>
      <c r="F23" s="13"/>
      <c r="G23" s="13"/>
    </row>
    <row r="25" spans="2:7" ht="23.4" x14ac:dyDescent="0.45">
      <c r="B25" s="1" t="s">
        <v>18</v>
      </c>
      <c r="E25" s="1" t="s">
        <v>24</v>
      </c>
    </row>
    <row r="26" spans="2:7" x14ac:dyDescent="0.3">
      <c r="B26" s="15" t="s">
        <v>12</v>
      </c>
      <c r="C26" s="5" t="s">
        <v>41</v>
      </c>
      <c r="E26" t="s">
        <v>47</v>
      </c>
    </row>
    <row r="27" spans="2:7" x14ac:dyDescent="0.3">
      <c r="B27" s="15" t="s">
        <v>13</v>
      </c>
      <c r="C27" s="44">
        <v>1988900233002</v>
      </c>
    </row>
    <row r="28" spans="2:7" x14ac:dyDescent="0.3">
      <c r="B28" s="15" t="s">
        <v>14</v>
      </c>
      <c r="C28" s="5" t="s">
        <v>25</v>
      </c>
    </row>
    <row r="29" spans="2:7" x14ac:dyDescent="0.3">
      <c r="B29" s="15" t="s">
        <v>15</v>
      </c>
      <c r="C29" s="5" t="s">
        <v>42</v>
      </c>
    </row>
    <row r="30" spans="2:7" x14ac:dyDescent="0.3">
      <c r="B30" s="15" t="s">
        <v>16</v>
      </c>
      <c r="C30" s="5">
        <v>60070</v>
      </c>
    </row>
  </sheetData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PDF">
                <anchor moveWithCells="1" sizeWithCells="1">
                  <from>
                    <xdr:col>8</xdr:col>
                    <xdr:colOff>144780</xdr:colOff>
                    <xdr:row>1</xdr:row>
                    <xdr:rowOff>38100</xdr:rowOff>
                  </from>
                  <to>
                    <xdr:col>9</xdr:col>
                    <xdr:colOff>571500</xdr:colOff>
                    <xdr:row>1</xdr:row>
                    <xdr:rowOff>784860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E7DDF3D-7779-4BCB-A167-A44DF8489E36}">
          <x14:formula1>
            <xm:f>Customers!$B$2:$B$1048576</xm:f>
          </x14:formula1>
          <xm:sqref>D5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4EE31-B350-844A-A977-66D729CD2EE2}">
  <sheetPr codeName="Sheet3"/>
  <dimension ref="B1:E5"/>
  <sheetViews>
    <sheetView workbookViewId="0">
      <selection activeCell="E6" sqref="E6"/>
    </sheetView>
  </sheetViews>
  <sheetFormatPr defaultColWidth="10.69921875" defaultRowHeight="15.6" x14ac:dyDescent="0.3"/>
  <cols>
    <col min="2" max="2" width="12.69921875" bestFit="1" customWidth="1"/>
    <col min="3" max="3" width="14.5" bestFit="1" customWidth="1"/>
    <col min="4" max="4" width="21.796875" bestFit="1" customWidth="1"/>
    <col min="5" max="5" width="14.69921875" bestFit="1" customWidth="1"/>
  </cols>
  <sheetData>
    <row r="1" spans="2:5" x14ac:dyDescent="0.3">
      <c r="B1" s="20" t="s">
        <v>26</v>
      </c>
      <c r="C1" s="20" t="s">
        <v>27</v>
      </c>
      <c r="D1" s="20" t="s">
        <v>28</v>
      </c>
      <c r="E1" s="20" t="s">
        <v>29</v>
      </c>
    </row>
    <row r="2" spans="2:5" x14ac:dyDescent="0.3">
      <c r="B2" t="s">
        <v>48</v>
      </c>
      <c r="C2" t="s">
        <v>17</v>
      </c>
      <c r="D2" t="s">
        <v>52</v>
      </c>
      <c r="E2" s="45" t="s">
        <v>51</v>
      </c>
    </row>
    <row r="3" spans="2:5" x14ac:dyDescent="0.3">
      <c r="B3" t="s">
        <v>30</v>
      </c>
      <c r="C3" t="s">
        <v>49</v>
      </c>
      <c r="D3" t="s">
        <v>53</v>
      </c>
      <c r="E3" s="45" t="s">
        <v>50</v>
      </c>
    </row>
    <row r="4" spans="2:5" x14ac:dyDescent="0.3">
      <c r="B4" t="s">
        <v>31</v>
      </c>
      <c r="C4" t="s">
        <v>32</v>
      </c>
      <c r="D4" t="s">
        <v>54</v>
      </c>
      <c r="E4" t="s">
        <v>33</v>
      </c>
    </row>
    <row r="5" spans="2:5" x14ac:dyDescent="0.3">
      <c r="B5" t="s">
        <v>55</v>
      </c>
      <c r="C5" t="s">
        <v>57</v>
      </c>
      <c r="D5" t="s">
        <v>56</v>
      </c>
      <c r="E5" s="45" t="s">
        <v>58</v>
      </c>
    </row>
  </sheetData>
  <hyperlinks>
    <hyperlink ref="E3" r:id="rId1" xr:uid="{31BFA5C3-B4E2-C44E-B577-5F1C4523643E}"/>
    <hyperlink ref="E4" r:id="rId2" xr:uid="{E3DF6899-2308-DE48-930E-C80E0A2F3E73}"/>
    <hyperlink ref="E2" r:id="rId3" xr:uid="{EF3C56BB-C914-4E06-9C4A-97CBD18B5985}"/>
    <hyperlink ref="E5" r:id="rId4" xr:uid="{2F419D34-0AA9-4765-BE7A-1A9C27D0D504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5591FF2B5DCE4EBB5217E5E9439AEB" ma:contentTypeVersion="15" ma:contentTypeDescription="Create a new document." ma:contentTypeScope="" ma:versionID="8c1cb66c6456ea3b838728907be677be">
  <xsd:schema xmlns:xsd="http://www.w3.org/2001/XMLSchema" xmlns:xs="http://www.w3.org/2001/XMLSchema" xmlns:p="http://schemas.microsoft.com/office/2006/metadata/properties" xmlns:ns2="3163de2a-2ec2-45f0-b14d-0af60e6d9ad0" xmlns:ns3="fc19ec23-456b-448c-8a2f-165d14c43f10" targetNamespace="http://schemas.microsoft.com/office/2006/metadata/properties" ma:root="true" ma:fieldsID="ad9bc822c441476fdced3512c9f2c4c4" ns2:_="" ns3:_="">
    <xsd:import namespace="3163de2a-2ec2-45f0-b14d-0af60e6d9ad0"/>
    <xsd:import namespace="fc19ec23-456b-448c-8a2f-165d14c43f1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Content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63de2a-2ec2-45f0-b14d-0af60e6d9ad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Contents" ma:index="16" nillable="true" ma:displayName="Contents" ma:format="Dropdown" ma:internalName="Contents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02d0fc9f-eb5f-40ac-b597-c984a82382c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19ec23-456b-448c-8a2f-165d14c43f1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4e7c5234-3d00-42a9-a58c-ffdc3b94d10c}" ma:internalName="TaxCatchAll" ma:showField="CatchAllData" ma:web="fc19ec23-456b-448c-8a2f-165d14c43f1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DA91433-1ED0-40FD-A020-E9DE4009B6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63de2a-2ec2-45f0-b14d-0af60e6d9ad0"/>
    <ds:schemaRef ds:uri="fc19ec23-456b-448c-8a2f-165d14c43f1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BC89736-0FC6-4DDE-87AE-BE600244250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Cover Page</vt:lpstr>
      <vt:lpstr>Invoice</vt:lpstr>
      <vt:lpstr>Customers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Career Principles</dc:creator>
  <cp:lastModifiedBy>wesley kanyama</cp:lastModifiedBy>
  <cp:lastPrinted>2025-11-15T14:16:23Z</cp:lastPrinted>
  <dcterms:created xsi:type="dcterms:W3CDTF">2024-03-25T07:20:42Z</dcterms:created>
  <dcterms:modified xsi:type="dcterms:W3CDTF">2025-11-15T14:16:25Z</dcterms:modified>
</cp:coreProperties>
</file>