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 Kanyama\Downloads\"/>
    </mc:Choice>
  </mc:AlternateContent>
  <xr:revisionPtr revIDLastSave="0" documentId="13_ncr:1_{8A42BFD0-2CC7-4CD8-803D-B6EE2C1F79F7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Uncleaned" sheetId="2" r:id="rId1"/>
    <sheet name="Cleaned" sheetId="4" r:id="rId2"/>
  </sheets>
  <definedNames>
    <definedName name="_xlnm._FilterDatabase" localSheetId="1" hidden="1">Cleaned!$B$1:$K$44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<sst xmlns="http://schemas.openxmlformats.org/spreadsheetml/2006/main" count="324" uniqueCount="161">
  <si>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</si>
  <si>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</si>
  <si>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</si>
  <si>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</si>
  <si>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</si>
  <si>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</si>
  <si>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</si>
  <si>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</si>
  <si>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</si>
  <si>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</si>
  <si>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</si>
  <si>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</si>
  <si>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</si>
  <si>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</si>
  <si>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</si>
  <si>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</si>
  <si>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</si>
  <si>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</si>
  <si>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</si>
  <si>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</si>
  <si>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</si>
  <si>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</si>
  <si>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</si>
  <si>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</si>
  <si>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</si>
  <si>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</si>
  <si>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</si>
  <si>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</si>
  <si>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</si>
  <si>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</si>
  <si>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</si>
  <si>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</si>
  <si>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</si>
  <si>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</si>
  <si>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</si>
  <si>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</si>
  <si>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</si>
  <si>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</si>
  <si>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</si>
  <si>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</si>
  <si>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</si>
  <si>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</si>
  <si>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</si>
  <si>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</si>
  <si>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</si>
  <si>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</si>
  <si>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</si>
  <si>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</si>
  <si>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</si>
  <si>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</si>
  <si>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</si>
  <si>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</si>
  <si>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</si>
  <si>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</si>
  <si>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</si>
  <si>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</si>
  <si>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</si>
  <si>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</si>
  <si>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</si>
  <si>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</si>
  <si>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</si>
  <si>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</si>
  <si>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</si>
  <si>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</si>
  <si>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</si>
  <si>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</si>
  <si>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</si>
  <si>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</si>
  <si>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</si>
  <si>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</si>
  <si>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</si>
  <si>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</si>
  <si>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</si>
  <si>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</si>
  <si>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</si>
  <si>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</si>
  <si>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</si>
  <si>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</si>
  <si>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</si>
  <si>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</si>
  <si>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</si>
  <si>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</si>
  <si>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</si>
  <si>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</si>
  <si>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</si>
  <si>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</si>
  <si>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</si>
  <si>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</si>
  <si>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</si>
  <si>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</si>
  <si>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</si>
  <si>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</si>
  <si>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</si>
  <si>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</si>
  <si>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</si>
  <si>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</si>
  <si>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</si>
  <si>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</si>
  <si>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</si>
  <si>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</si>
  <si>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XNAS:AMZN</t>
  </si>
  <si>
    <t>XNAS:TSLA</t>
  </si>
  <si>
    <t>XNAS:NFLX</t>
  </si>
  <si>
    <t>XNYS:PG</t>
  </si>
  <si>
    <t>XNYS:GS</t>
  </si>
  <si>
    <t>XNYS:JPM</t>
  </si>
  <si>
    <t>XNYS:MS</t>
  </si>
  <si>
    <t>XNYS:C</t>
  </si>
  <si>
    <t>XNYS:BAC</t>
  </si>
  <si>
    <t>XNYS:WMT</t>
  </si>
  <si>
    <t>XNYS:TGT</t>
  </si>
  <si>
    <t>XNAS:COST</t>
  </si>
  <si>
    <t>XNYS:MCD</t>
  </si>
  <si>
    <t>XNYS:XOM</t>
  </si>
  <si>
    <t>XNYS:VZ</t>
  </si>
  <si>
    <t>XNYS:HD</t>
  </si>
  <si>
    <t>XNAS:CSCO</t>
  </si>
  <si>
    <t>XNYS:CVX</t>
  </si>
  <si>
    <t>XNYS:T</t>
  </si>
  <si>
    <t>XNAS:INTC</t>
  </si>
  <si>
    <t>XNYS:GM</t>
  </si>
  <si>
    <t>XNAS:MSFT</t>
  </si>
  <si>
    <t>XNAS:CMCSA</t>
  </si>
  <si>
    <t>XNYS:DELL</t>
  </si>
  <si>
    <t>XNYS:JNJ</t>
  </si>
  <si>
    <t>XNYS:FDX</t>
  </si>
  <si>
    <t>XNYS:GE</t>
  </si>
  <si>
    <t>XNYS:LMT</t>
  </si>
  <si>
    <t>Harley Fritz</t>
  </si>
  <si>
    <t>David Rasmussen</t>
  </si>
  <si>
    <t>Jordan Boone</t>
  </si>
  <si>
    <t>Conor Wise</t>
  </si>
  <si>
    <t>Alia Thornton</t>
  </si>
  <si>
    <t>Denzel Flores</t>
  </si>
  <si>
    <t>Arturo Moore</t>
  </si>
  <si>
    <t>Bryce Carpenter</t>
  </si>
  <si>
    <t>Bill Smith</t>
  </si>
  <si>
    <t>Ken Singh</t>
  </si>
  <si>
    <t>Ivan Hiney</t>
  </si>
  <si>
    <t>Jonha Ma</t>
  </si>
  <si>
    <t>Brendan Wallace</t>
  </si>
  <si>
    <t>Steven Michael</t>
  </si>
  <si>
    <t>Jose Roach</t>
  </si>
  <si>
    <t>Franklin Wrigt</t>
  </si>
  <si>
    <t>Bruno Cordova</t>
  </si>
  <si>
    <t>Jaylynn Napp</t>
  </si>
  <si>
    <t>Bruce Rich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</si>
  <si>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</si>
  <si>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</si>
  <si>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</si>
  <si>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</si>
  <si>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</si>
  <si>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</si>
  <si>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</si>
  <si>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</si>
  <si>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</si>
  <si>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</si>
  <si>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</si>
  <si>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</si>
  <si>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City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</si>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</sst>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US$&quot;* #,##0.00_-;\-&quot;US$&quot;* #,##0.00_-;_-&quot;US$&quot;* &quot;-&quot;??_-;_-@_-"/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center"/>
    </xf>
    <xf numFmtId="165" fontId="0" fillId="0" borderId="0" xfId="0" applyNumberFormat="1"/>
    <xf numFmtId="49" fontId="0" fillId="0" borderId="1" xfId="0" applyNumberFormat="1" applyBorder="1"/>
    <xf numFmtId="49" fontId="0" fillId="0" borderId="1" xfId="0" applyNumberFormat="1" applyBorder="1" applyAlignment="1">
      <alignment horizontal="left"/>
    </xf>
    <xf numFmtId="44" fontId="0" fillId="0" borderId="1" xfId="0" applyNumberFormat="1" applyBorder="1" applyAlignment="1">
      <alignment horizontal="center"/>
    </xf>
    <xf numFmtId="14" fontId="0" fillId="0" borderId="2" xfId="0" applyNumberFormat="1" applyBorder="1"/>
    <xf numFmtId="165" fontId="0" fillId="0" borderId="3" xfId="1" applyNumberFormat="1" applyFont="1" applyBorder="1"/>
    <xf numFmtId="14" fontId="0" fillId="0" borderId="4" xfId="0" applyNumberFormat="1" applyBorder="1"/>
    <xf numFmtId="49" fontId="0" fillId="0" borderId="5" xfId="0" applyNumberFormat="1" applyBorder="1"/>
    <xf numFmtId="49" fontId="0" fillId="0" borderId="5" xfId="0" applyNumberFormat="1" applyBorder="1" applyAlignment="1">
      <alignment horizontal="left"/>
    </xf>
    <xf numFmtId="44" fontId="0" fillId="0" borderId="5" xfId="0" applyNumberFormat="1" applyBorder="1" applyAlignment="1">
      <alignment horizontal="center"/>
    </xf>
    <xf numFmtId="165" fontId="0" fillId="0" borderId="6" xfId="1" applyNumberFormat="1" applyFont="1" applyBorder="1"/>
    <xf numFmtId="14" fontId="0" fillId="0" borderId="7" xfId="0" applyNumberFormat="1" applyBorder="1"/>
    <xf numFmtId="49" fontId="0" fillId="0" borderId="8" xfId="0" applyNumberFormat="1" applyBorder="1"/>
    <xf numFmtId="49" fontId="0" fillId="0" borderId="8" xfId="0" applyNumberFormat="1" applyBorder="1" applyAlignment="1">
      <alignment horizontal="left"/>
    </xf>
    <xf numFmtId="44" fontId="0" fillId="0" borderId="8" xfId="0" applyNumberFormat="1" applyBorder="1" applyAlignment="1">
      <alignment horizontal="center"/>
    </xf>
    <xf numFmtId="165" fontId="0" fillId="0" borderId="9" xfId="1" applyNumberFormat="1" applyFont="1" applyBorder="1"/>
    <xf numFmtId="14" fontId="2" fillId="2" borderId="10" xfId="0" applyNumberFormat="1" applyFont="1" applyFill="1" applyBorder="1"/>
    <xf numFmtId="49" fontId="2" fillId="2" borderId="11" xfId="0" applyNumberFormat="1" applyFont="1" applyFill="1" applyBorder="1"/>
    <xf numFmtId="49" fontId="2" fillId="2" borderId="11" xfId="0" applyNumberFormat="1" applyFont="1" applyFill="1" applyBorder="1" applyAlignment="1">
      <alignment horizontal="left"/>
    </xf>
    <xf numFmtId="44" fontId="2" fillId="2" borderId="11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14" fontId="0" fillId="0" borderId="0" xfId="0" applyNumberFormat="1" applyBorder="1"/>
    <xf numFmtId="49" fontId="0" fillId="0" borderId="0" xfId="0" applyNumberFormat="1" applyBorder="1"/>
    <xf numFmtId="49" fontId="0" fillId="0" borderId="0" xfId="0" applyNumberFormat="1" applyBorder="1" applyAlignment="1">
      <alignment horizontal="left"/>
    </xf>
    <xf numFmtId="44" fontId="0" fillId="0" borderId="0" xfId="0" applyNumberFormat="1" applyBorder="1"/>
    <xf numFmtId="165" fontId="0" fillId="0" borderId="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zoomScale="106" zoomScaleNormal="106" workbookViewId="0">
      <selection activeCell="K9" sqref="K9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4264-3EBB-40D2-8DE8-5FC88413B4E5}">
  <dimension ref="B1:K42"/>
  <sheetViews>
    <sheetView topLeftCell="C1" workbookViewId="0">
      <pane ySplit="2" topLeftCell="A3" activePane="bottomLeft" state="frozen"/>
      <selection pane="bottomLeft" activeCell="M29" sqref="M29"/>
    </sheetView>
  </sheetViews>
  <sheetFormatPr defaultColWidth="11.19921875" defaultRowHeight="15.6" x14ac:dyDescent="0.3"/>
  <cols>
    <col min="1" max="1" width="6.69921875" customWidth="1"/>
    <col min="2" max="2" width="13.69921875" style="4" customWidth="1"/>
    <col min="3" max="3" width="33.8984375" style="5" customWidth="1"/>
    <col min="4" max="4" width="15.3984375" style="5" customWidth="1"/>
    <col min="5" max="5" width="18" style="5" customWidth="1"/>
    <col min="6" max="7" width="15.3984375" style="5" customWidth="1"/>
    <col min="8" max="8" width="15.3984375" style="6" customWidth="1"/>
    <col min="9" max="10" width="15.3984375" style="7" customWidth="1"/>
    <col min="11" max="11" width="15.3984375" style="9" customWidth="1"/>
  </cols>
  <sheetData>
    <row r="1" spans="2:11" ht="16.2" thickBot="1" x14ac:dyDescent="0.35">
      <c r="B1" s="30"/>
      <c r="C1" s="31"/>
      <c r="D1" s="31"/>
      <c r="E1" s="31"/>
      <c r="F1" s="31"/>
      <c r="G1" s="31"/>
      <c r="H1" s="32"/>
      <c r="I1" s="33"/>
      <c r="J1" s="33"/>
      <c r="K1" s="34"/>
    </row>
    <row r="2" spans="2:11" ht="16.2" thickBot="1" x14ac:dyDescent="0.35">
      <c r="B2" s="25" t="s">
        <v>0</v>
      </c>
      <c r="C2" s="26" t="s">
        <v>5</v>
      </c>
      <c r="D2" s="26" t="s">
        <v>160</v>
      </c>
      <c r="E2" s="26" t="s">
        <v>1</v>
      </c>
      <c r="F2" s="26" t="s">
        <v>6</v>
      </c>
      <c r="G2" s="26" t="s">
        <v>159</v>
      </c>
      <c r="H2" s="27" t="s">
        <v>47</v>
      </c>
      <c r="I2" s="28" t="s">
        <v>2</v>
      </c>
      <c r="J2" s="28" t="s">
        <v>3</v>
      </c>
      <c r="K2" s="29" t="s">
        <v>4</v>
      </c>
    </row>
    <row r="3" spans="2:11" x14ac:dyDescent="0.3">
      <c r="B3" s="20">
        <v>45076</v>
      </c>
      <c r="C3" s="21" t="s">
        <v>72</v>
      </c>
      <c r="D3" s="21" t="s">
        <v>100</v>
      </c>
      <c r="E3" s="21" t="s">
        <v>136</v>
      </c>
      <c r="F3" s="21" t="s">
        <v>151</v>
      </c>
      <c r="G3" s="21" t="s">
        <v>152</v>
      </c>
      <c r="H3" s="22" t="s">
        <v>51</v>
      </c>
      <c r="I3" s="23">
        <v>4500</v>
      </c>
      <c r="J3" s="23">
        <v>598</v>
      </c>
      <c r="K3" s="24">
        <f>IFERROR(J3/I3,0)</f>
        <v>0.13288888888888889</v>
      </c>
    </row>
    <row r="4" spans="2:11" x14ac:dyDescent="0.3">
      <c r="B4" s="13">
        <v>45076</v>
      </c>
      <c r="C4" s="10" t="s">
        <v>73</v>
      </c>
      <c r="D4" s="10" t="s">
        <v>101</v>
      </c>
      <c r="E4" s="10" t="s">
        <v>137</v>
      </c>
      <c r="F4" s="10" t="s">
        <v>153</v>
      </c>
      <c r="G4" s="10" t="s">
        <v>154</v>
      </c>
      <c r="H4" s="11" t="s">
        <v>49</v>
      </c>
      <c r="I4" s="12">
        <v>3800</v>
      </c>
      <c r="J4" s="12">
        <v>1045</v>
      </c>
      <c r="K4" s="14">
        <f>IFERROR(J4/I4,0)</f>
        <v>0.27500000000000002</v>
      </c>
    </row>
    <row r="5" spans="2:11" x14ac:dyDescent="0.3">
      <c r="B5" s="13">
        <v>45076</v>
      </c>
      <c r="C5" s="10" t="s">
        <v>74</v>
      </c>
      <c r="D5" s="10" t="s">
        <v>102</v>
      </c>
      <c r="E5" s="10" t="s">
        <v>128</v>
      </c>
      <c r="F5" s="10" t="s">
        <v>153</v>
      </c>
      <c r="G5" s="10" t="s">
        <v>154</v>
      </c>
      <c r="H5" s="11"/>
      <c r="I5" s="12">
        <v>3712.5</v>
      </c>
      <c r="J5" s="12">
        <v>1009</v>
      </c>
      <c r="K5" s="14">
        <f>IFERROR(J5/I5,0)</f>
        <v>0.2717845117845118</v>
      </c>
    </row>
    <row r="6" spans="2:11" x14ac:dyDescent="0.3">
      <c r="B6" s="13">
        <v>45076</v>
      </c>
      <c r="C6" s="10" t="s">
        <v>75</v>
      </c>
      <c r="D6" s="10" t="s">
        <v>103</v>
      </c>
      <c r="E6" s="10" t="s">
        <v>35</v>
      </c>
      <c r="F6" s="10" t="s">
        <v>155</v>
      </c>
      <c r="G6" s="10" t="s">
        <v>156</v>
      </c>
      <c r="H6" s="11"/>
      <c r="I6" s="12"/>
      <c r="J6" s="12">
        <v>779</v>
      </c>
      <c r="K6" s="14">
        <f>IFERROR(J6/I6,0)</f>
        <v>0</v>
      </c>
    </row>
    <row r="7" spans="2:11" x14ac:dyDescent="0.3">
      <c r="B7" s="13">
        <v>45076</v>
      </c>
      <c r="C7" s="10" t="s">
        <v>76</v>
      </c>
      <c r="D7" s="10" t="s">
        <v>104</v>
      </c>
      <c r="E7" s="10" t="s">
        <v>129</v>
      </c>
      <c r="F7" s="10" t="s">
        <v>155</v>
      </c>
      <c r="G7" s="10" t="s">
        <v>156</v>
      </c>
      <c r="H7" s="11" t="s">
        <v>50</v>
      </c>
      <c r="I7" s="12">
        <v>5000</v>
      </c>
      <c r="J7" s="12">
        <v>684</v>
      </c>
      <c r="K7" s="14">
        <f>IFERROR(J7/I7,0)</f>
        <v>0.1368</v>
      </c>
    </row>
    <row r="8" spans="2:11" x14ac:dyDescent="0.3">
      <c r="B8" s="13">
        <v>45077</v>
      </c>
      <c r="C8" s="10" t="s">
        <v>77</v>
      </c>
      <c r="D8" s="10" t="s">
        <v>105</v>
      </c>
      <c r="E8" s="10" t="s">
        <v>138</v>
      </c>
      <c r="F8" s="10" t="s">
        <v>151</v>
      </c>
      <c r="G8" s="10" t="s">
        <v>152</v>
      </c>
      <c r="H8" s="11" t="s">
        <v>51</v>
      </c>
      <c r="I8" s="12">
        <v>6100</v>
      </c>
      <c r="J8" s="12">
        <v>544</v>
      </c>
      <c r="K8" s="14">
        <f>IFERROR(J8/I8,0)</f>
        <v>8.9180327868852466E-2</v>
      </c>
    </row>
    <row r="9" spans="2:11" x14ac:dyDescent="0.3">
      <c r="B9" s="13">
        <v>45077</v>
      </c>
      <c r="C9" s="10" t="s">
        <v>78</v>
      </c>
      <c r="D9" s="10" t="s">
        <v>106</v>
      </c>
      <c r="E9" s="10" t="s">
        <v>139</v>
      </c>
      <c r="F9" s="10" t="s">
        <v>151</v>
      </c>
      <c r="G9" s="10" t="s">
        <v>152</v>
      </c>
      <c r="H9" s="11" t="s">
        <v>51</v>
      </c>
      <c r="I9" s="12">
        <v>4625</v>
      </c>
      <c r="J9" s="12">
        <v>670</v>
      </c>
      <c r="K9" s="14">
        <f>IFERROR(J9/I9,0)</f>
        <v>0.14486486486486486</v>
      </c>
    </row>
    <row r="10" spans="2:11" x14ac:dyDescent="0.3">
      <c r="B10" s="13">
        <v>45077</v>
      </c>
      <c r="C10" s="10" t="s">
        <v>79</v>
      </c>
      <c r="D10" s="10" t="s">
        <v>107</v>
      </c>
      <c r="E10" s="10" t="s">
        <v>130</v>
      </c>
      <c r="F10" s="10" t="s">
        <v>151</v>
      </c>
      <c r="G10" s="10" t="s">
        <v>152</v>
      </c>
      <c r="H10" s="11" t="s">
        <v>51</v>
      </c>
      <c r="I10" s="12">
        <v>3800</v>
      </c>
      <c r="J10" s="12">
        <v>2045</v>
      </c>
      <c r="K10" s="14">
        <f>IFERROR(J10/I10,0)</f>
        <v>0.53815789473684206</v>
      </c>
    </row>
    <row r="11" spans="2:11" x14ac:dyDescent="0.3">
      <c r="B11" s="13">
        <v>45077</v>
      </c>
      <c r="C11" s="10" t="s">
        <v>80</v>
      </c>
      <c r="D11" s="10" t="s">
        <v>108</v>
      </c>
      <c r="E11" s="10" t="s">
        <v>36</v>
      </c>
      <c r="F11" s="10" t="s">
        <v>151</v>
      </c>
      <c r="G11" s="10" t="s">
        <v>152</v>
      </c>
      <c r="H11" s="11" t="s">
        <v>48</v>
      </c>
      <c r="I11" s="12">
        <v>3600</v>
      </c>
      <c r="J11" s="12">
        <v>1564</v>
      </c>
      <c r="K11" s="14">
        <f>IFERROR(J11/I11,0)</f>
        <v>0.43444444444444447</v>
      </c>
    </row>
    <row r="12" spans="2:11" x14ac:dyDescent="0.3">
      <c r="B12" s="13">
        <v>45077</v>
      </c>
      <c r="C12" s="10" t="s">
        <v>81</v>
      </c>
      <c r="D12" s="10" t="s">
        <v>109</v>
      </c>
      <c r="E12" s="10" t="s">
        <v>37</v>
      </c>
      <c r="F12" s="10" t="s">
        <v>151</v>
      </c>
      <c r="G12" s="10" t="s">
        <v>152</v>
      </c>
      <c r="H12" s="11" t="s">
        <v>50</v>
      </c>
      <c r="I12" s="12">
        <v>5100</v>
      </c>
      <c r="J12" s="12">
        <v>1220</v>
      </c>
      <c r="K12" s="14">
        <f>IFERROR(J12/I12,0)</f>
        <v>0.23921568627450981</v>
      </c>
    </row>
    <row r="13" spans="2:11" x14ac:dyDescent="0.3">
      <c r="B13" s="13">
        <v>45077</v>
      </c>
      <c r="C13" s="10" t="s">
        <v>82</v>
      </c>
      <c r="D13" s="10" t="s">
        <v>110</v>
      </c>
      <c r="E13" s="10" t="s">
        <v>140</v>
      </c>
      <c r="F13" s="10" t="s">
        <v>151</v>
      </c>
      <c r="G13" s="10" t="s">
        <v>152</v>
      </c>
      <c r="H13" s="11" t="s">
        <v>50</v>
      </c>
      <c r="I13" s="12">
        <v>4750</v>
      </c>
      <c r="J13" s="12">
        <v>1435</v>
      </c>
      <c r="K13" s="14">
        <f>IFERROR(J13/I13,0)</f>
        <v>0.30210526315789471</v>
      </c>
    </row>
    <row r="14" spans="2:11" x14ac:dyDescent="0.3">
      <c r="B14" s="13">
        <v>45077</v>
      </c>
      <c r="C14" s="10" t="s">
        <v>83</v>
      </c>
      <c r="D14" s="10" t="s">
        <v>111</v>
      </c>
      <c r="E14" s="10" t="s">
        <v>131</v>
      </c>
      <c r="F14" s="10" t="s">
        <v>155</v>
      </c>
      <c r="G14" s="10" t="s">
        <v>156</v>
      </c>
      <c r="H14" s="11" t="s">
        <v>51</v>
      </c>
      <c r="I14" s="12">
        <v>6000</v>
      </c>
      <c r="J14" s="12">
        <v>998</v>
      </c>
      <c r="K14" s="14">
        <f>IFERROR(J14/I14,0)</f>
        <v>0.16633333333333333</v>
      </c>
    </row>
    <row r="15" spans="2:11" x14ac:dyDescent="0.3">
      <c r="B15" s="13">
        <v>45077</v>
      </c>
      <c r="C15" s="10" t="s">
        <v>84</v>
      </c>
      <c r="D15" s="10" t="s">
        <v>112</v>
      </c>
      <c r="E15" s="10" t="s">
        <v>141</v>
      </c>
      <c r="F15" s="10" t="s">
        <v>157</v>
      </c>
      <c r="G15" s="10" t="s">
        <v>158</v>
      </c>
      <c r="H15" s="11" t="s">
        <v>50</v>
      </c>
      <c r="I15" s="12">
        <v>4500</v>
      </c>
      <c r="J15" s="12">
        <v>780</v>
      </c>
      <c r="K15" s="14">
        <f>IFERROR(J15/I15,0)</f>
        <v>0.17333333333333334</v>
      </c>
    </row>
    <row r="16" spans="2:11" x14ac:dyDescent="0.3">
      <c r="B16" s="13">
        <v>45078</v>
      </c>
      <c r="C16" s="10" t="s">
        <v>85</v>
      </c>
      <c r="D16" s="10" t="s">
        <v>113</v>
      </c>
      <c r="E16" s="10" t="s">
        <v>38</v>
      </c>
      <c r="F16" s="10" t="s">
        <v>157</v>
      </c>
      <c r="G16" s="10" t="s">
        <v>158</v>
      </c>
      <c r="H16" s="11" t="s">
        <v>48</v>
      </c>
      <c r="I16" s="12"/>
      <c r="J16" s="12">
        <v>1044</v>
      </c>
      <c r="K16" s="14">
        <f>IFERROR(J16/I16,0)</f>
        <v>0</v>
      </c>
    </row>
    <row r="17" spans="2:11" x14ac:dyDescent="0.3">
      <c r="B17" s="13">
        <v>45078</v>
      </c>
      <c r="C17" s="10" t="s">
        <v>86</v>
      </c>
      <c r="D17" s="10" t="s">
        <v>114</v>
      </c>
      <c r="E17" s="10" t="s">
        <v>142</v>
      </c>
      <c r="F17" s="10" t="s">
        <v>157</v>
      </c>
      <c r="G17" s="10" t="s">
        <v>158</v>
      </c>
      <c r="H17" s="11" t="s">
        <v>51</v>
      </c>
      <c r="I17" s="12">
        <v>3712.5</v>
      </c>
      <c r="J17" s="12">
        <v>1222</v>
      </c>
      <c r="K17" s="14">
        <f>IFERROR(J17/I17,0)</f>
        <v>0.32915824915824915</v>
      </c>
    </row>
    <row r="18" spans="2:11" x14ac:dyDescent="0.3">
      <c r="B18" s="13">
        <v>45078</v>
      </c>
      <c r="C18" s="10" t="s">
        <v>87</v>
      </c>
      <c r="D18" s="10" t="s">
        <v>115</v>
      </c>
      <c r="E18" s="10" t="s">
        <v>143</v>
      </c>
      <c r="F18" s="10" t="s">
        <v>157</v>
      </c>
      <c r="G18" s="10" t="s">
        <v>158</v>
      </c>
      <c r="H18" s="11" t="s">
        <v>51</v>
      </c>
      <c r="I18" s="12">
        <v>4950</v>
      </c>
      <c r="J18" s="12">
        <v>1065</v>
      </c>
      <c r="K18" s="14">
        <f>IFERROR(J18/I18,0)</f>
        <v>0.21515151515151515</v>
      </c>
    </row>
    <row r="19" spans="2:11" x14ac:dyDescent="0.3">
      <c r="B19" s="13">
        <v>45078</v>
      </c>
      <c r="C19" s="10" t="s">
        <v>88</v>
      </c>
      <c r="D19" s="10" t="s">
        <v>116</v>
      </c>
      <c r="E19" s="10" t="s">
        <v>132</v>
      </c>
      <c r="F19" s="10" t="s">
        <v>155</v>
      </c>
      <c r="G19" s="10" t="s">
        <v>156</v>
      </c>
      <c r="H19" s="11" t="s">
        <v>51</v>
      </c>
      <c r="I19" s="12">
        <v>4750</v>
      </c>
      <c r="J19" s="12">
        <v>810</v>
      </c>
      <c r="K19" s="14">
        <f>IFERROR(J19/I19,0)</f>
        <v>0.17052631578947369</v>
      </c>
    </row>
    <row r="20" spans="2:11" x14ac:dyDescent="0.3">
      <c r="B20" s="13">
        <v>45078</v>
      </c>
      <c r="C20" s="10" t="s">
        <v>89</v>
      </c>
      <c r="D20" s="10" t="s">
        <v>117</v>
      </c>
      <c r="E20" s="10" t="s">
        <v>133</v>
      </c>
      <c r="F20" s="10" t="s">
        <v>155</v>
      </c>
      <c r="G20" s="10" t="s">
        <v>156</v>
      </c>
      <c r="H20" s="11" t="s">
        <v>51</v>
      </c>
      <c r="I20" s="12">
        <v>7320</v>
      </c>
      <c r="J20" s="12">
        <v>933</v>
      </c>
      <c r="K20" s="14">
        <f>IFERROR(J20/I20,0)</f>
        <v>0.12745901639344262</v>
      </c>
    </row>
    <row r="21" spans="2:11" x14ac:dyDescent="0.3">
      <c r="B21" s="13">
        <v>45077</v>
      </c>
      <c r="C21" s="10" t="s">
        <v>83</v>
      </c>
      <c r="D21" s="10" t="s">
        <v>111</v>
      </c>
      <c r="E21" s="10" t="s">
        <v>131</v>
      </c>
      <c r="F21" s="10" t="s">
        <v>155</v>
      </c>
      <c r="G21" s="10" t="s">
        <v>156</v>
      </c>
      <c r="H21" s="11" t="s">
        <v>51</v>
      </c>
      <c r="I21" s="12">
        <v>6000</v>
      </c>
      <c r="J21" s="12">
        <v>998</v>
      </c>
      <c r="K21" s="14">
        <f>IFERROR(J21/I21,0)</f>
        <v>0.16633333333333333</v>
      </c>
    </row>
    <row r="22" spans="2:11" x14ac:dyDescent="0.3">
      <c r="B22" s="13">
        <v>45077</v>
      </c>
      <c r="C22" s="10" t="s">
        <v>84</v>
      </c>
      <c r="D22" s="10" t="s">
        <v>112</v>
      </c>
      <c r="E22" s="10" t="s">
        <v>141</v>
      </c>
      <c r="F22" s="10" t="s">
        <v>157</v>
      </c>
      <c r="G22" s="10" t="s">
        <v>158</v>
      </c>
      <c r="H22" s="11" t="s">
        <v>50</v>
      </c>
      <c r="I22" s="12">
        <v>4500</v>
      </c>
      <c r="J22" s="12">
        <v>780</v>
      </c>
      <c r="K22" s="14">
        <f>IFERROR(J22/I22,0)</f>
        <v>0.17333333333333334</v>
      </c>
    </row>
    <row r="23" spans="2:11" x14ac:dyDescent="0.3">
      <c r="B23" s="13">
        <v>45078</v>
      </c>
      <c r="C23" s="10" t="s">
        <v>90</v>
      </c>
      <c r="D23" s="10" t="s">
        <v>118</v>
      </c>
      <c r="E23" s="10" t="s">
        <v>144</v>
      </c>
      <c r="F23" s="10" t="s">
        <v>157</v>
      </c>
      <c r="G23" s="10" t="s">
        <v>158</v>
      </c>
      <c r="H23" s="11" t="s">
        <v>51</v>
      </c>
      <c r="I23" s="12">
        <v>5087.5</v>
      </c>
      <c r="J23" s="12">
        <v>655</v>
      </c>
      <c r="K23" s="14">
        <f>IFERROR(J23/I23,0)</f>
        <v>0.12874692874692875</v>
      </c>
    </row>
    <row r="24" spans="2:11" x14ac:dyDescent="0.3">
      <c r="B24" s="13">
        <v>45078</v>
      </c>
      <c r="C24" s="10" t="s">
        <v>91</v>
      </c>
      <c r="D24" s="10" t="s">
        <v>119</v>
      </c>
      <c r="E24" s="10" t="s">
        <v>145</v>
      </c>
      <c r="F24" s="10" t="s">
        <v>157</v>
      </c>
      <c r="G24" s="10" t="s">
        <v>158</v>
      </c>
      <c r="H24" s="11" t="s">
        <v>51</v>
      </c>
      <c r="I24" s="12">
        <v>4500</v>
      </c>
      <c r="J24" s="12">
        <v>722</v>
      </c>
      <c r="K24" s="14">
        <f>IFERROR(J24/I24,0)</f>
        <v>0.16044444444444445</v>
      </c>
    </row>
    <row r="25" spans="2:11" x14ac:dyDescent="0.3">
      <c r="B25" s="13">
        <v>45078</v>
      </c>
      <c r="C25" s="10" t="s">
        <v>92</v>
      </c>
      <c r="D25" s="10" t="s">
        <v>120</v>
      </c>
      <c r="E25" s="10" t="s">
        <v>146</v>
      </c>
      <c r="F25" s="10" t="s">
        <v>157</v>
      </c>
      <c r="G25" s="10" t="s">
        <v>158</v>
      </c>
      <c r="H25" s="11" t="s">
        <v>48</v>
      </c>
      <c r="I25" s="12">
        <v>4250</v>
      </c>
      <c r="J25" s="12">
        <v>901</v>
      </c>
      <c r="K25" s="14">
        <f>IFERROR(J25/I25,0)</f>
        <v>0.21199999999999999</v>
      </c>
    </row>
    <row r="26" spans="2:11" x14ac:dyDescent="0.3">
      <c r="B26" s="13">
        <v>45079</v>
      </c>
      <c r="C26" s="10" t="s">
        <v>93</v>
      </c>
      <c r="D26" s="10" t="s">
        <v>121</v>
      </c>
      <c r="E26" s="10" t="s">
        <v>134</v>
      </c>
      <c r="F26" s="10" t="s">
        <v>157</v>
      </c>
      <c r="G26" s="10" t="s">
        <v>158</v>
      </c>
      <c r="H26" s="11" t="s">
        <v>49</v>
      </c>
      <c r="I26" s="12">
        <v>5250</v>
      </c>
      <c r="J26" s="12">
        <v>1349</v>
      </c>
      <c r="K26" s="14">
        <f>IFERROR(J26/I26,0)</f>
        <v>0.25695238095238093</v>
      </c>
    </row>
    <row r="27" spans="2:11" x14ac:dyDescent="0.3">
      <c r="B27" s="13">
        <v>45079</v>
      </c>
      <c r="C27" s="10" t="s">
        <v>94</v>
      </c>
      <c r="D27" s="10" t="s">
        <v>122</v>
      </c>
      <c r="E27" s="10" t="s">
        <v>135</v>
      </c>
      <c r="F27" s="10" t="s">
        <v>153</v>
      </c>
      <c r="G27" s="10" t="s">
        <v>154</v>
      </c>
      <c r="H27" s="11" t="s">
        <v>49</v>
      </c>
      <c r="I27" s="12">
        <v>6500</v>
      </c>
      <c r="J27" s="12">
        <v>1288</v>
      </c>
      <c r="K27" s="14">
        <f>IFERROR(J27/I27,0)</f>
        <v>0.19815384615384615</v>
      </c>
    </row>
    <row r="28" spans="2:11" x14ac:dyDescent="0.3">
      <c r="B28" s="13">
        <v>45079</v>
      </c>
      <c r="C28" s="10" t="s">
        <v>95</v>
      </c>
      <c r="D28" s="10" t="s">
        <v>123</v>
      </c>
      <c r="E28" s="10" t="s">
        <v>147</v>
      </c>
      <c r="F28" s="10" t="s">
        <v>153</v>
      </c>
      <c r="G28" s="10" t="s">
        <v>154</v>
      </c>
      <c r="H28" s="11" t="s">
        <v>49</v>
      </c>
      <c r="I28" s="12">
        <v>7500</v>
      </c>
      <c r="J28" s="12">
        <v>1664</v>
      </c>
      <c r="K28" s="14">
        <f>IFERROR(J28/I28,0)</f>
        <v>0.22186666666666666</v>
      </c>
    </row>
    <row r="29" spans="2:11" x14ac:dyDescent="0.3">
      <c r="B29" s="13">
        <v>45079</v>
      </c>
      <c r="C29" s="10" t="s">
        <v>96</v>
      </c>
      <c r="D29" s="10" t="s">
        <v>124</v>
      </c>
      <c r="E29" s="10" t="s">
        <v>148</v>
      </c>
      <c r="F29" s="10" t="s">
        <v>153</v>
      </c>
      <c r="G29" s="10" t="s">
        <v>154</v>
      </c>
      <c r="H29" s="11" t="s">
        <v>51</v>
      </c>
      <c r="I29" s="12">
        <v>5500</v>
      </c>
      <c r="J29" s="12">
        <v>1320</v>
      </c>
      <c r="K29" s="14">
        <f>IFERROR(J29/I29,0)</f>
        <v>0.24</v>
      </c>
    </row>
    <row r="30" spans="2:11" x14ac:dyDescent="0.3">
      <c r="B30" s="13">
        <v>45079</v>
      </c>
      <c r="C30" s="10" t="s">
        <v>97</v>
      </c>
      <c r="D30" s="10" t="s">
        <v>125</v>
      </c>
      <c r="E30" s="10" t="s">
        <v>149</v>
      </c>
      <c r="F30" s="10" t="s">
        <v>153</v>
      </c>
      <c r="G30" s="10" t="s">
        <v>154</v>
      </c>
      <c r="H30" s="11" t="s">
        <v>51</v>
      </c>
      <c r="I30" s="12">
        <v>4625</v>
      </c>
      <c r="J30" s="12">
        <v>1001</v>
      </c>
      <c r="K30" s="14">
        <f>IFERROR(J30/I30,0)</f>
        <v>0.21643243243243243</v>
      </c>
    </row>
    <row r="31" spans="2:11" x14ac:dyDescent="0.3">
      <c r="B31" s="13">
        <v>45079</v>
      </c>
      <c r="C31" s="10" t="s">
        <v>98</v>
      </c>
      <c r="D31" s="10" t="s">
        <v>126</v>
      </c>
      <c r="E31" s="10" t="s">
        <v>150</v>
      </c>
      <c r="F31" s="10" t="s">
        <v>153</v>
      </c>
      <c r="G31" s="10" t="s">
        <v>154</v>
      </c>
      <c r="H31" s="11" t="s">
        <v>51</v>
      </c>
      <c r="I31" s="12">
        <v>4500</v>
      </c>
      <c r="J31" s="12">
        <v>960</v>
      </c>
      <c r="K31" s="14">
        <f>IFERROR(J31/I31,0)</f>
        <v>0.21333333333333335</v>
      </c>
    </row>
    <row r="32" spans="2:11" x14ac:dyDescent="0.3">
      <c r="B32" s="13">
        <v>45079</v>
      </c>
      <c r="C32" s="10" t="s">
        <v>99</v>
      </c>
      <c r="D32" s="10" t="s">
        <v>127</v>
      </c>
      <c r="E32" s="10" t="s">
        <v>39</v>
      </c>
      <c r="F32" s="10" t="s">
        <v>153</v>
      </c>
      <c r="G32" s="10" t="s">
        <v>154</v>
      </c>
      <c r="H32" s="11" t="s">
        <v>48</v>
      </c>
      <c r="I32" s="12">
        <v>5400</v>
      </c>
      <c r="J32" s="12">
        <v>540</v>
      </c>
      <c r="K32" s="14">
        <f>IFERROR(J32/I32,0)</f>
        <v>0.1</v>
      </c>
    </row>
    <row r="33" spans="2:11" ht="16.2" thickBot="1" x14ac:dyDescent="0.35">
      <c r="B33" s="15">
        <v>45076</v>
      </c>
      <c r="C33" s="16" t="s">
        <v>76</v>
      </c>
      <c r="D33" s="16" t="s">
        <v>104</v>
      </c>
      <c r="E33" s="16" t="s">
        <v>129</v>
      </c>
      <c r="F33" s="16" t="s">
        <v>155</v>
      </c>
      <c r="G33" s="16" t="s">
        <v>156</v>
      </c>
      <c r="H33" s="17" t="s">
        <v>50</v>
      </c>
      <c r="I33" s="18">
        <v>5000</v>
      </c>
      <c r="J33" s="18">
        <v>684</v>
      </c>
      <c r="K33" s="19">
        <f>IFERROR(J33/I33,0)</f>
        <v>0.1368</v>
      </c>
    </row>
    <row r="34" spans="2:11" x14ac:dyDescent="0.3">
      <c r="I34" s="8"/>
    </row>
    <row r="35" spans="2:11" x14ac:dyDescent="0.3">
      <c r="I35" s="8"/>
    </row>
    <row r="36" spans="2:11" x14ac:dyDescent="0.3">
      <c r="I36" s="8"/>
    </row>
    <row r="37" spans="2:11" x14ac:dyDescent="0.3">
      <c r="I37" s="8"/>
    </row>
    <row r="38" spans="2:11" x14ac:dyDescent="0.3">
      <c r="I38" s="8"/>
    </row>
    <row r="39" spans="2:11" x14ac:dyDescent="0.3">
      <c r="I39" s="8"/>
    </row>
    <row r="40" spans="2:11" x14ac:dyDescent="0.3">
      <c r="I40" s="8"/>
    </row>
    <row r="41" spans="2:11" x14ac:dyDescent="0.3">
      <c r="I41" s="8"/>
    </row>
    <row r="42" spans="2:11" x14ac:dyDescent="0.3">
      <c r="I42" s="8"/>
    </row>
  </sheetData>
  <autoFilter ref="B1:K44" xr:uid="{570F4264-3EBB-40D2-8DE8-5FC88413B4E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9BB59C-8BAD-4795-B713-DF4861A01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Wesley Kanyama</cp:lastModifiedBy>
  <dcterms:created xsi:type="dcterms:W3CDTF">2023-05-29T07:26:35Z</dcterms:created>
  <dcterms:modified xsi:type="dcterms:W3CDTF">2025-11-15T14:10:53Z</dcterms:modified>
</cp:coreProperties>
</file>